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дидаты" sheetId="1" state="visible" r:id="rId1"/>
    <sheet xmlns:r="http://schemas.openxmlformats.org/officeDocument/2006/relationships" name="Воронка по дням" sheetId="2" state="visible" r:id="rId2"/>
    <sheet xmlns:r="http://schemas.openxmlformats.org/officeDocument/2006/relationships" name="KPI и план" sheetId="3" state="visible" r:id="rId3"/>
    <sheet xmlns:r="http://schemas.openxmlformats.org/officeDocument/2006/relationships" name="Источники (справка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8EEF7"/>
        <bgColor rgb="00E8EEF7"/>
      </patternFill>
    </fill>
    <fill>
      <patternFill patternType="solid">
        <fgColor rgb="002E5383"/>
        <bgColor rgb="002E5383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4" customWidth="1" min="4" max="4"/>
    <col width="16" customWidth="1" min="5" max="5"/>
    <col width="14" customWidth="1" min="6" max="6"/>
    <col width="12" customWidth="1" min="7" max="7"/>
    <col width="16" customWidth="1" min="8" max="8"/>
    <col width="12" customWidth="1" min="9" max="9"/>
    <col width="14" customWidth="1" min="10" max="10"/>
    <col width="14" customWidth="1" min="11" max="11"/>
    <col width="12" customWidth="1" min="12" max="12"/>
    <col width="16" customWidth="1" min="13" max="13"/>
    <col width="25" customWidth="1" min="14" max="14"/>
  </cols>
  <sheetData>
    <row r="1" ht="24" customHeight="1">
      <c r="A1" s="1" t="inlineStr">
        <is>
          <t>РЕЕСТР КАНДИДАТОВ — производство БПЛА, Ростов-на-Дону</t>
        </is>
      </c>
    </row>
    <row r="3" ht="36" customHeight="1">
      <c r="A3" s="2" t="inlineStr">
        <is>
          <t>№</t>
        </is>
      </c>
      <c r="B3" s="2" t="inlineStr">
        <is>
          <t>Дата отклика</t>
        </is>
      </c>
      <c r="C3" s="2" t="inlineStr">
        <is>
          <t>ФИО</t>
        </is>
      </c>
      <c r="D3" s="2" t="inlineStr">
        <is>
          <t>Телефон</t>
        </is>
      </c>
      <c r="E3" s="2" t="inlineStr">
        <is>
          <t>Вакансия</t>
        </is>
      </c>
      <c r="F3" s="2" t="inlineStr">
        <is>
          <t>Источник</t>
        </is>
      </c>
      <c r="G3" s="2" t="inlineStr">
        <is>
          <t>Дозвон (да/нет)</t>
        </is>
      </c>
      <c r="H3" s="2" t="inlineStr">
        <is>
          <t>Записан на встречу (дата)</t>
        </is>
      </c>
      <c r="I3" s="2" t="inlineStr">
        <is>
          <t>Пришел (да/нет)</t>
        </is>
      </c>
      <c r="J3" s="2" t="inlineStr">
        <is>
          <t>Итог. балл (из вопросника)</t>
        </is>
      </c>
      <c r="K3" s="2" t="inlineStr">
        <is>
          <t>Решение</t>
        </is>
      </c>
      <c r="L3" s="2" t="inlineStr">
        <is>
          <t>Дата выхода</t>
        </is>
      </c>
      <c r="M3" s="2" t="inlineStr">
        <is>
          <t>Статус на 30-й день</t>
        </is>
      </c>
      <c r="N3" s="2" t="inlineStr">
        <is>
          <t>Комментарий</t>
        </is>
      </c>
    </row>
    <row r="4">
      <c r="A4" s="3" t="n">
        <v>1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4" t="n">
        <v>2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3" t="n">
        <v>3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4" t="n">
        <v>4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3" t="n">
        <v>5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4" t="n">
        <v>6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3" t="n">
        <v>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4" t="n">
        <v>8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3" t="n">
        <v>9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4" t="n">
        <v>10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3" t="n">
        <v>11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4" t="n">
        <v>12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3" t="n">
        <v>13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4" t="n">
        <v>14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3" t="n">
        <v>15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4" t="n">
        <v>16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3" t="n">
        <v>17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4" t="n">
        <v>18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3" t="n">
        <v>19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4" t="n">
        <v>20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3" t="n">
        <v>21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4" t="n">
        <v>22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3" t="n">
        <v>23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4" t="n">
        <v>24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3" t="n">
        <v>25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4" t="n">
        <v>26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3" t="n">
        <v>27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4" t="n">
        <v>28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3" t="n">
        <v>29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4" t="n">
        <v>30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3" t="n">
        <v>31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4" t="n">
        <v>32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3" t="n">
        <v>33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4" t="n">
        <v>34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3" t="n">
        <v>35</v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4" t="n">
        <v>36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3" t="n">
        <v>37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4" t="n">
        <v>38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3" t="n">
        <v>39</v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4" t="n">
        <v>40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3" t="n">
        <v>41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4" t="n">
        <v>42</v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3" t="n">
        <v>43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4" t="n">
        <v>44</v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3" t="n">
        <v>45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4" t="n">
        <v>46</v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3" t="n">
        <v>47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4" t="n">
        <v>48</v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3" t="n">
        <v>49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4" t="n">
        <v>50</v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3" t="n">
        <v>51</v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4" t="n">
        <v>52</v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3" t="n">
        <v>53</v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4" t="n">
        <v>54</v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3" t="n">
        <v>55</v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4" t="n">
        <v>56</v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</sheetData>
  <mergeCells count="1">
    <mergeCell ref="A1:N1"/>
  </mergeCells>
  <dataValidations count="5">
    <dataValidation sqref="F4:F59" showDropDown="0" showInputMessage="0" showErrorMessage="0" allowBlank="1" type="list">
      <formula1>"Авито,HH.ru,Telegram,ВК,Реферал,Центр занятости,Колледж,Другое"</formula1>
    </dataValidation>
    <dataValidation sqref="G4:G59 I4:I59" showDropDown="0" showInputMessage="0" showErrorMessage="0" allowBlank="1" type="list">
      <formula1>"да,нет"</formula1>
    </dataValidation>
    <dataValidation sqref="E4:E59" showDropDown="0" showInputMessage="0" showErrorMessage="0" allowBlank="1" type="list">
      <formula1>"Монтажник РЭА,Слесарь-сборщик"</formula1>
    </dataValidation>
    <dataValidation sqref="K4:K59" showDropDown="0" showInputMessage="0" showErrorMessage="0" allowBlank="1" type="list">
      <formula1>"Берем сразу,Тестовое задание,Резерв,Отказ"</formula1>
    </dataValidation>
    <dataValidation sqref="M4:M59" showDropDown="0" showInputMessage="0" showErrorMessage="0" allowBlank="1" type="list">
      <formula1>"Работает,Уволился на испытательном,Уволился после испытательного,Еще не наступило 30 дней"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0" customWidth="1" min="5" max="5"/>
    <col width="14" customWidth="1" min="6" max="6"/>
    <col width="14" customWidth="1" min="7" max="7"/>
    <col width="18" customWidth="1" min="8" max="8"/>
    <col width="25" customWidth="1" min="9" max="9"/>
  </cols>
  <sheetData>
    <row r="1" ht="24" customHeight="1">
      <c r="A1" s="1" t="inlineStr">
        <is>
          <t>ЕЖЕДНЕВНАЯ ВОРОНКА ПОДБОРА</t>
        </is>
      </c>
    </row>
    <row r="3" ht="30" customHeight="1">
      <c r="A3" s="2" t="inlineStr">
        <is>
          <t>Дата</t>
        </is>
      </c>
      <c r="B3" s="2" t="inlineStr">
        <is>
          <t>Новые лиды</t>
        </is>
      </c>
      <c r="C3" s="2" t="inlineStr">
        <is>
          <t>Дозвонились</t>
        </is>
      </c>
      <c r="D3" s="2" t="inlineStr">
        <is>
          <t>Записаны на встречу</t>
        </is>
      </c>
      <c r="E3" s="2" t="inlineStr">
        <is>
          <t>Пришли</t>
        </is>
      </c>
      <c r="F3" s="2" t="inlineStr">
        <is>
          <t>Получили оффер</t>
        </is>
      </c>
      <c r="G3" s="2" t="inlineStr">
        <is>
          <t>Вышли на работу</t>
        </is>
      </c>
      <c r="H3" s="2" t="inlineStr">
        <is>
          <t>Конверсия лид→выход, %</t>
        </is>
      </c>
      <c r="I3" s="2" t="inlineStr">
        <is>
          <t>Комментарий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5">
        <f>IFERROR(G4/B4,"")</f>
        <v/>
      </c>
      <c r="I4" s="3" t="n"/>
    </row>
    <row r="5">
      <c r="A5" s="4" t="n"/>
      <c r="B5" s="4" t="n"/>
      <c r="C5" s="4" t="n"/>
      <c r="D5" s="4" t="n"/>
      <c r="E5" s="4" t="n"/>
      <c r="F5" s="4" t="n"/>
      <c r="G5" s="4" t="n"/>
      <c r="H5" s="6">
        <f>IFERROR(G5/B5,"")</f>
        <v/>
      </c>
      <c r="I5" s="4" t="n"/>
    </row>
    <row r="6">
      <c r="A6" s="3" t="n"/>
      <c r="B6" s="3" t="n"/>
      <c r="C6" s="3" t="n"/>
      <c r="D6" s="3" t="n"/>
      <c r="E6" s="3" t="n"/>
      <c r="F6" s="3" t="n"/>
      <c r="G6" s="3" t="n"/>
      <c r="H6" s="5">
        <f>IFERROR(G6/B6,"")</f>
        <v/>
      </c>
      <c r="I6" s="3" t="n"/>
    </row>
    <row r="7">
      <c r="A7" s="4" t="n"/>
      <c r="B7" s="4" t="n"/>
      <c r="C7" s="4" t="n"/>
      <c r="D7" s="4" t="n"/>
      <c r="E7" s="4" t="n"/>
      <c r="F7" s="4" t="n"/>
      <c r="G7" s="4" t="n"/>
      <c r="H7" s="6">
        <f>IFERROR(G7/B7,"")</f>
        <v/>
      </c>
      <c r="I7" s="4" t="n"/>
    </row>
    <row r="8">
      <c r="A8" s="3" t="n"/>
      <c r="B8" s="3" t="n"/>
      <c r="C8" s="3" t="n"/>
      <c r="D8" s="3" t="n"/>
      <c r="E8" s="3" t="n"/>
      <c r="F8" s="3" t="n"/>
      <c r="G8" s="3" t="n"/>
      <c r="H8" s="5">
        <f>IFERROR(G8/B8,"")</f>
        <v/>
      </c>
      <c r="I8" s="3" t="n"/>
    </row>
    <row r="9">
      <c r="A9" s="4" t="n"/>
      <c r="B9" s="4" t="n"/>
      <c r="C9" s="4" t="n"/>
      <c r="D9" s="4" t="n"/>
      <c r="E9" s="4" t="n"/>
      <c r="F9" s="4" t="n"/>
      <c r="G9" s="4" t="n"/>
      <c r="H9" s="6">
        <f>IFERROR(G9/B9,"")</f>
        <v/>
      </c>
      <c r="I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5">
        <f>IFERROR(G10/B10,"")</f>
        <v/>
      </c>
      <c r="I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6">
        <f>IFERROR(G11/B11,"")</f>
        <v/>
      </c>
      <c r="I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5">
        <f>IFERROR(G12/B12,"")</f>
        <v/>
      </c>
      <c r="I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6">
        <f>IFERROR(G13/B13,"")</f>
        <v/>
      </c>
      <c r="I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5">
        <f>IFERROR(G14/B14,"")</f>
        <v/>
      </c>
      <c r="I14" s="3" t="n"/>
    </row>
    <row r="15">
      <c r="A15" s="4" t="n"/>
      <c r="B15" s="4" t="n"/>
      <c r="C15" s="4" t="n"/>
      <c r="D15" s="4" t="n"/>
      <c r="E15" s="4" t="n"/>
      <c r="F15" s="4" t="n"/>
      <c r="G15" s="4" t="n"/>
      <c r="H15" s="6">
        <f>IFERROR(G15/B15,"")</f>
        <v/>
      </c>
      <c r="I15" s="4" t="n"/>
    </row>
    <row r="16">
      <c r="A16" s="3" t="n"/>
      <c r="B16" s="3" t="n"/>
      <c r="C16" s="3" t="n"/>
      <c r="D16" s="3" t="n"/>
      <c r="E16" s="3" t="n"/>
      <c r="F16" s="3" t="n"/>
      <c r="G16" s="3" t="n"/>
      <c r="H16" s="5">
        <f>IFERROR(G16/B16,"")</f>
        <v/>
      </c>
      <c r="I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6">
        <f>IFERROR(G17/B17,"")</f>
        <v/>
      </c>
      <c r="I17" s="4" t="n"/>
    </row>
    <row r="18">
      <c r="A18" s="3" t="n"/>
      <c r="B18" s="3" t="n"/>
      <c r="C18" s="3" t="n"/>
      <c r="D18" s="3" t="n"/>
      <c r="E18" s="3" t="n"/>
      <c r="F18" s="3" t="n"/>
      <c r="G18" s="3" t="n"/>
      <c r="H18" s="5">
        <f>IFERROR(G18/B18,"")</f>
        <v/>
      </c>
      <c r="I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6">
        <f>IFERROR(G19/B19,"")</f>
        <v/>
      </c>
      <c r="I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5">
        <f>IFERROR(G20/B20,"")</f>
        <v/>
      </c>
      <c r="I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6">
        <f>IFERROR(G21/B21,"")</f>
        <v/>
      </c>
      <c r="I21" s="4" t="n"/>
    </row>
    <row r="22">
      <c r="A22" s="3" t="n"/>
      <c r="B22" s="3" t="n"/>
      <c r="C22" s="3" t="n"/>
      <c r="D22" s="3" t="n"/>
      <c r="E22" s="3" t="n"/>
      <c r="F22" s="3" t="n"/>
      <c r="G22" s="3" t="n"/>
      <c r="H22" s="5">
        <f>IFERROR(G22/B22,"")</f>
        <v/>
      </c>
      <c r="I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6">
        <f>IFERROR(G23/B23,"")</f>
        <v/>
      </c>
      <c r="I23" s="4" t="n"/>
    </row>
    <row r="24">
      <c r="A24" s="3" t="n"/>
      <c r="B24" s="3" t="n"/>
      <c r="C24" s="3" t="n"/>
      <c r="D24" s="3" t="n"/>
      <c r="E24" s="3" t="n"/>
      <c r="F24" s="3" t="n"/>
      <c r="G24" s="3" t="n"/>
      <c r="H24" s="5">
        <f>IFERROR(G24/B24,"")</f>
        <v/>
      </c>
      <c r="I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6">
        <f>IFERROR(G25/B25,"")</f>
        <v/>
      </c>
      <c r="I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5">
        <f>IFERROR(G26/B26,"")</f>
        <v/>
      </c>
      <c r="I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6">
        <f>IFERROR(G27/B27,"")</f>
        <v/>
      </c>
      <c r="I27" s="4" t="n"/>
    </row>
    <row r="28">
      <c r="A28" s="3" t="n"/>
      <c r="B28" s="3" t="n"/>
      <c r="C28" s="3" t="n"/>
      <c r="D28" s="3" t="n"/>
      <c r="E28" s="3" t="n"/>
      <c r="F28" s="3" t="n"/>
      <c r="G28" s="3" t="n"/>
      <c r="H28" s="5">
        <f>IFERROR(G28/B28,"")</f>
        <v/>
      </c>
      <c r="I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6">
        <f>IFERROR(G29/B29,"")</f>
        <v/>
      </c>
      <c r="I29" s="4" t="n"/>
    </row>
    <row r="30">
      <c r="A30" s="3" t="n"/>
      <c r="B30" s="3" t="n"/>
      <c r="C30" s="3" t="n"/>
      <c r="D30" s="3" t="n"/>
      <c r="E30" s="3" t="n"/>
      <c r="F30" s="3" t="n"/>
      <c r="G30" s="3" t="n"/>
      <c r="H30" s="5">
        <f>IFERROR(G30/B30,"")</f>
        <v/>
      </c>
      <c r="I30" s="3" t="n"/>
    </row>
    <row r="31">
      <c r="A31" s="4" t="n"/>
      <c r="B31" s="4" t="n"/>
      <c r="C31" s="4" t="n"/>
      <c r="D31" s="4" t="n"/>
      <c r="E31" s="4" t="n"/>
      <c r="F31" s="4" t="n"/>
      <c r="G31" s="4" t="n"/>
      <c r="H31" s="6">
        <f>IFERROR(G31/B31,"")</f>
        <v/>
      </c>
      <c r="I31" s="4" t="n"/>
    </row>
    <row r="32">
      <c r="A32" s="3" t="n"/>
      <c r="B32" s="3" t="n"/>
      <c r="C32" s="3" t="n"/>
      <c r="D32" s="3" t="n"/>
      <c r="E32" s="3" t="n"/>
      <c r="F32" s="3" t="n"/>
      <c r="G32" s="3" t="n"/>
      <c r="H32" s="5">
        <f>IFERROR(G32/B32,"")</f>
        <v/>
      </c>
      <c r="I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6">
        <f>IFERROR(G33/B33,"")</f>
        <v/>
      </c>
      <c r="I33" s="4" t="n"/>
    </row>
    <row r="34">
      <c r="A34" s="3" t="n"/>
      <c r="B34" s="3" t="n"/>
      <c r="C34" s="3" t="n"/>
      <c r="D34" s="3" t="n"/>
      <c r="E34" s="3" t="n"/>
      <c r="F34" s="3" t="n"/>
      <c r="G34" s="3" t="n"/>
      <c r="H34" s="5">
        <f>IFERROR(G34/B34,"")</f>
        <v/>
      </c>
      <c r="I34" s="3" t="n"/>
    </row>
    <row r="35">
      <c r="A35" s="7" t="inlineStr">
        <is>
          <t>ИТОГО ЗА МЕСЯЦ</t>
        </is>
      </c>
      <c r="B35" s="7">
        <f>SUM(B4:B34)</f>
        <v/>
      </c>
      <c r="C35" s="7">
        <f>SUM(C4:C34)</f>
        <v/>
      </c>
      <c r="D35" s="7">
        <f>SUM(D4:D34)</f>
        <v/>
      </c>
      <c r="E35" s="7">
        <f>SUM(E4:E34)</f>
        <v/>
      </c>
      <c r="F35" s="7">
        <f>SUM(F4:F34)</f>
        <v/>
      </c>
      <c r="G35" s="7">
        <f>SUM(G4:G34)</f>
        <v/>
      </c>
      <c r="H35" s="8">
        <f>IFERROR(G35/B35,"")</f>
        <v/>
      </c>
      <c r="I35" s="9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35" customWidth="1" min="4" max="4"/>
  </cols>
  <sheetData>
    <row r="1" ht="24" customHeight="1">
      <c r="A1" s="1" t="inlineStr">
        <is>
          <t>KPI, ПЛАН НАЙМА И РАСЧЕТ ДОХОДА HR</t>
        </is>
      </c>
    </row>
    <row r="3">
      <c r="A3" s="10" t="inlineStr">
        <is>
          <t>Показатель</t>
        </is>
      </c>
      <c r="B3" s="10" t="inlineStr">
        <is>
          <t>Плановое значение</t>
        </is>
      </c>
      <c r="C3" s="10" t="inlineStr">
        <is>
          <t>Фактическое значение (заполняется вручную)</t>
        </is>
      </c>
      <c r="D3" s="10" t="inlineStr">
        <is>
          <t>Комментарий</t>
        </is>
      </c>
    </row>
    <row r="4">
      <c r="A4" s="3" t="inlineStr">
        <is>
          <t>План найма в месяц, чел.</t>
        </is>
      </c>
      <c r="B4" s="11" t="n">
        <v>20</v>
      </c>
      <c r="C4" s="11" t="inlineStr"/>
      <c r="D4" s="3" t="inlineStr">
        <is>
          <t>Задайте свой план</t>
        </is>
      </c>
    </row>
    <row r="5">
      <c r="A5" s="4" t="inlineStr">
        <is>
          <t>Оклад HR в месяц, руб.</t>
        </is>
      </c>
      <c r="B5" s="12" t="n">
        <v>40000</v>
      </c>
      <c r="C5" s="12" t="inlineStr"/>
      <c r="D5" s="4" t="inlineStr"/>
    </row>
    <row r="6">
      <c r="A6" s="3" t="inlineStr">
        <is>
          <t>Бонус за 1 закрытую вакансию, руб.</t>
        </is>
      </c>
      <c r="B6" s="11" t="n">
        <v>2000</v>
      </c>
      <c r="C6" s="11" t="inlineStr"/>
      <c r="D6" s="3" t="inlineStr">
        <is>
          <t>Уточните правило: за что именно платится бонус (оформление / выход 1 день / отработка N дней)</t>
        </is>
      </c>
    </row>
    <row r="7">
      <c r="A7" s="4" t="inlineStr">
        <is>
          <t>Целевой доход HR в месяц, руб.</t>
        </is>
      </c>
      <c r="B7" s="12">
        <f>B2+B3*B4</f>
        <v/>
      </c>
      <c r="C7" s="12" t="inlineStr"/>
      <c r="D7" s="4" t="inlineStr">
        <is>
          <t>Считается автоматически</t>
        </is>
      </c>
    </row>
    <row r="8">
      <c r="A8" s="3" t="inlineStr"/>
      <c r="B8" s="11" t="inlineStr"/>
      <c r="C8" s="11" t="inlineStr"/>
      <c r="D8" s="3" t="inlineStr"/>
    </row>
    <row r="9">
      <c r="A9" s="4" t="inlineStr">
        <is>
          <t>Фактически вышло сотрудников за месяц, чел.</t>
        </is>
      </c>
      <c r="B9" s="12" t="inlineStr"/>
      <c r="C9" s="12" t="inlineStr"/>
      <c r="D9" s="4" t="inlineStr">
        <is>
          <t>Заполнить вручную по итогам месяца</t>
        </is>
      </c>
    </row>
    <row r="10">
      <c r="A10" s="3" t="inlineStr">
        <is>
          <t>Фактический бонус за месяц, руб.</t>
        </is>
      </c>
      <c r="B10" s="11">
        <f>C7*B4</f>
        <v/>
      </c>
      <c r="C10" s="11" t="inlineStr"/>
      <c r="D10" s="3" t="inlineStr">
        <is>
          <t>Считается автоматически, если заполнена ячейка C7</t>
        </is>
      </c>
    </row>
    <row r="11">
      <c r="A11" s="4" t="inlineStr">
        <is>
          <t>Фактический доход HR за месяц, руб.</t>
        </is>
      </c>
      <c r="B11" s="12">
        <f>B3+C8</f>
        <v/>
      </c>
      <c r="C11" s="12" t="inlineStr"/>
      <c r="D11" s="4" t="inlineStr"/>
    </row>
    <row r="12">
      <c r="A12" s="3" t="inlineStr"/>
      <c r="B12" s="11" t="inlineStr"/>
      <c r="C12" s="11" t="inlineStr"/>
      <c r="D12" s="3" t="inlineStr"/>
    </row>
    <row r="13">
      <c r="A13" s="4" t="inlineStr">
        <is>
          <t>Выполнение плана, %</t>
        </is>
      </c>
      <c r="B13" s="13">
        <f>IFERROR(C7/B2,"")</f>
        <v/>
      </c>
      <c r="C13" s="12" t="inlineStr"/>
      <c r="D13" s="4" t="inlineStr">
        <is>
          <t>Формат — процент</t>
        </is>
      </c>
    </row>
    <row r="16">
      <c r="A16" s="14" t="inlineStr">
        <is>
          <t>НОРМАТИВЫ ВОРОНКИ (плановые, скорректируйте под фактические данные)</t>
        </is>
      </c>
    </row>
    <row r="17">
      <c r="A17" s="15" t="inlineStr">
        <is>
          <t>Этап воронки</t>
        </is>
      </c>
      <c r="B17" s="15" t="inlineStr">
        <is>
          <t>Плановая конверсия</t>
        </is>
      </c>
      <c r="C17" s="15" t="inlineStr"/>
      <c r="D17" s="15" t="inlineStr"/>
    </row>
    <row r="18">
      <c r="A18" s="3" t="inlineStr">
        <is>
          <t>Отклик/лид → дозвон</t>
        </is>
      </c>
      <c r="B18" s="11" t="inlineStr">
        <is>
          <t>60%</t>
        </is>
      </c>
      <c r="C18" s="11" t="inlineStr"/>
      <c r="D18" s="3" t="inlineStr"/>
    </row>
    <row r="19">
      <c r="A19" s="4" t="inlineStr">
        <is>
          <t>Дозвон → согласие на встречу</t>
        </is>
      </c>
      <c r="B19" s="12" t="inlineStr">
        <is>
          <t>45%</t>
        </is>
      </c>
      <c r="C19" s="12" t="inlineStr"/>
      <c r="D19" s="4" t="inlineStr">
        <is>
          <t>Ключевая точка отвала — сдельная оплата труда</t>
        </is>
      </c>
    </row>
    <row r="20">
      <c r="A20" s="3" t="inlineStr">
        <is>
          <t>Записан → дошел на встречу</t>
        </is>
      </c>
      <c r="B20" s="11" t="inlineStr">
        <is>
          <t>55%</t>
        </is>
      </c>
      <c r="C20" s="11" t="inlineStr"/>
      <c r="D20" s="3" t="inlineStr"/>
    </row>
    <row r="21">
      <c r="A21" s="4" t="inlineStr">
        <is>
          <t>Дошел → получил оффер</t>
        </is>
      </c>
      <c r="B21" s="12" t="inlineStr">
        <is>
          <t>70%</t>
        </is>
      </c>
      <c r="C21" s="12" t="inlineStr"/>
      <c r="D21" s="4" t="inlineStr"/>
    </row>
    <row r="22">
      <c r="A22" s="3" t="inlineStr">
        <is>
          <t>Получил оффер → вышел на работу</t>
        </is>
      </c>
      <c r="B22" s="11" t="inlineStr">
        <is>
          <t>70%</t>
        </is>
      </c>
      <c r="C22" s="11" t="inlineStr"/>
      <c r="D22" s="3" t="inlineStr"/>
    </row>
    <row r="23">
      <c r="A23" s="4" t="inlineStr">
        <is>
          <t>Итоговая конверсия лид → выход</t>
        </is>
      </c>
      <c r="B23" s="12" t="inlineStr">
        <is>
          <t>≈7%</t>
        </is>
      </c>
      <c r="C23" s="12" t="inlineStr"/>
      <c r="D23" s="4" t="inlineStr">
        <is>
          <t>Ориентир для расчета нужного числа лидов в месяц</t>
        </is>
      </c>
    </row>
    <row r="25">
      <c r="A25" s="16" t="inlineStr">
        <is>
          <t>Нужно лидов в месяц для выполнения плана</t>
        </is>
      </c>
      <c r="B25" s="17">
        <f>IFERROR(B2/0.07,"")</f>
        <v/>
      </c>
    </row>
    <row r="26">
      <c r="A26" s="16" t="inlineStr">
        <is>
          <t>Нужно лидов в рабочий день (22 рабочих дня в месяце)</t>
        </is>
      </c>
      <c r="B26" s="17">
        <f>IFERROR(B25/22,"")</f>
        <v/>
      </c>
    </row>
  </sheetData>
  <mergeCells count="2">
    <mergeCell ref="A1:D1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4" customWidth="1" min="4" max="4"/>
    <col width="40" customWidth="1" min="5" max="5"/>
  </cols>
  <sheetData>
    <row r="1" ht="24" customHeight="1">
      <c r="A1" s="1" t="inlineStr">
        <is>
          <t>ИСТОЧНИКИ КАНДИДАТОВ В РОСТОВЕ-НА-ДОНУ — СПРАВОЧНИК</t>
        </is>
      </c>
    </row>
    <row r="3">
      <c r="A3" s="2" t="inlineStr">
        <is>
          <t>Источник</t>
        </is>
      </c>
      <c r="B3" s="2" t="inlineStr">
        <is>
          <t>Стоимость</t>
        </is>
      </c>
      <c r="C3" s="2" t="inlineStr">
        <is>
          <t>Скорость получения кандидатов</t>
        </is>
      </c>
      <c r="D3" s="2" t="inlineStr">
        <is>
          <t>Оценка ROI</t>
        </is>
      </c>
      <c r="E3" s="2" t="inlineStr">
        <is>
          <t>Особенности</t>
        </is>
      </c>
    </row>
    <row r="4" ht="45" customHeight="1">
      <c r="A4" s="18" t="inlineStr">
        <is>
          <t>Авито Работа</t>
        </is>
      </c>
      <c r="B4" s="18" t="inlineStr">
        <is>
          <t>Оплата за целевые действия (отклик/показ телефона)</t>
        </is>
      </c>
      <c r="C4" s="18" t="inlineStr">
        <is>
          <t>Высокая</t>
        </is>
      </c>
      <c r="D4" s="18" t="inlineStr">
        <is>
          <t>Высокий</t>
        </is>
      </c>
      <c r="E4" s="18" t="inlineStr">
        <is>
          <t>Один из лучших каналов для рабочих специальностей в регионах, много кандидатов без резюме на hh.ru</t>
        </is>
      </c>
    </row>
    <row r="5" ht="45" customHeight="1">
      <c r="A5" s="19" t="inlineStr">
        <is>
          <t>Реферальная программа (сотрудники приводят знакомых)</t>
        </is>
      </c>
      <c r="B5" s="19" t="inlineStr">
        <is>
          <t>Низкая (выплата по факту отработки)</t>
        </is>
      </c>
      <c r="C5" s="19" t="inlineStr">
        <is>
          <t>Средняя</t>
        </is>
      </c>
      <c r="D5" s="19" t="inlineStr">
        <is>
          <t>Высокий</t>
        </is>
      </c>
      <c r="E5" s="19" t="inlineStr">
        <is>
          <t>Кандидат заранее знает реальные условия — низкий отвал</t>
        </is>
      </c>
    </row>
    <row r="6" ht="45" customHeight="1">
      <c r="A6" s="18" t="inlineStr">
        <is>
          <t>HH.ru</t>
        </is>
      </c>
      <c r="B6" s="18" t="inlineStr">
        <is>
          <t>Платное размещение вакансии</t>
        </is>
      </c>
      <c r="C6" s="18" t="inlineStr">
        <is>
          <t>Высокая</t>
        </is>
      </c>
      <c r="D6" s="18" t="inlineStr">
        <is>
          <t>Средний-высокий</t>
        </is>
      </c>
      <c r="E6" s="18" t="inlineStr">
        <is>
          <t>Много просмотров, но выше сопротивление сдельной оплате у части аудитории</t>
        </is>
      </c>
    </row>
    <row r="7" ht="45" customHeight="1">
      <c r="A7" s="19" t="inlineStr">
        <is>
          <t>Telegram-каналы "Работа Ростов"</t>
        </is>
      </c>
      <c r="B7" s="19" t="inlineStr">
        <is>
          <t>Низкая стоимость размещения поста</t>
        </is>
      </c>
      <c r="C7" s="19" t="inlineStr">
        <is>
          <t>Высокая</t>
        </is>
      </c>
      <c r="D7" s="19" t="inlineStr">
        <is>
          <t>Средний-высокий</t>
        </is>
      </c>
      <c r="E7" s="19" t="inlineStr">
        <is>
          <t>Нужен быстрый скрининг, много случайных откликов</t>
        </is>
      </c>
    </row>
    <row r="8" ht="45" customHeight="1">
      <c r="A8" s="18" t="inlineStr">
        <is>
          <t>ВКонтакте (группы "Работа в Ростове")</t>
        </is>
      </c>
      <c r="B8" s="18" t="inlineStr">
        <is>
          <t>Низкая</t>
        </is>
      </c>
      <c r="C8" s="18" t="inlineStr">
        <is>
          <t>Средняя</t>
        </is>
      </c>
      <c r="D8" s="18" t="inlineStr">
        <is>
          <t>Средний</t>
        </is>
      </c>
      <c r="E8" s="18" t="inlineStr">
        <is>
          <t>Таргет на возраст 25-45 лет</t>
        </is>
      </c>
    </row>
    <row r="9" ht="45" customHeight="1">
      <c r="A9" s="19" t="inlineStr">
        <is>
          <t>Центр занятости населения / портал Работа России</t>
        </is>
      </c>
      <c r="B9" s="19" t="inlineStr">
        <is>
          <t>Бесплатно</t>
        </is>
      </c>
      <c r="C9" s="19" t="inlineStr">
        <is>
          <t>Средняя-низкая</t>
        </is>
      </c>
      <c r="D9" s="19" t="inlineStr">
        <is>
          <t>Средний</t>
        </is>
      </c>
      <c r="E9" s="19" t="inlineStr">
        <is>
          <t>Государственная платформа, участие в ярмарках вакансий</t>
        </is>
      </c>
    </row>
    <row r="10" ht="45" customHeight="1">
      <c r="A10" s="18" t="inlineStr">
        <is>
          <t>Профильные колледжи Ростова-на-Дону</t>
        </is>
      </c>
      <c r="B10" s="18" t="inlineStr">
        <is>
          <t>Низкая</t>
        </is>
      </c>
      <c r="C10" s="18" t="inlineStr">
        <is>
          <t>Низкая (долгий цикл)</t>
        </is>
      </c>
      <c r="D10" s="18" t="inlineStr">
        <is>
          <t>Средний (стратегический)</t>
        </is>
      </c>
      <c r="E10" s="18" t="inlineStr">
        <is>
          <t>Целевая подготовка по рабочим специальностям, актуально для формирования потока на будущее</t>
        </is>
      </c>
    </row>
    <row r="11" ht="45" customHeight="1">
      <c r="A11" s="19" t="inlineStr">
        <is>
          <t>Ярмарки вакансий</t>
        </is>
      </c>
      <c r="B11" s="19" t="inlineStr">
        <is>
          <t>Низкая</t>
        </is>
      </c>
      <c r="C11" s="19" t="inlineStr">
        <is>
          <t>Средняя</t>
        </is>
      </c>
      <c r="D11" s="19" t="inlineStr">
        <is>
          <t>Средний</t>
        </is>
      </c>
      <c r="E11" s="19" t="inlineStr">
        <is>
          <t>За один день можно получить 20-30 живых контактов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2026-07-03T10:43:35Z</dcterms:created>
  <dcterms:modified xmlns:dcterms="http://purl.org/dc/terms/" xmlns:xsi="http://www.w3.org/2001/XMLSchema-instance" xsi:type="dcterms:W3CDTF">2026-07-03T10:43:35Z</dcterms:modified>
</cp:coreProperties>
</file>